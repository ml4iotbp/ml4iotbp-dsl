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edrovalderas/GitHubRepositories/ml4iotdb-dsl/Validation/usability-experiment/reading/"/>
    </mc:Choice>
  </mc:AlternateContent>
  <xr:revisionPtr revIDLastSave="0" documentId="13_ncr:1_{57C4A144-F16F-5C45-AFD7-A4F3557AFFF2}" xr6:coauthVersionLast="47" xr6:coauthVersionMax="47" xr10:uidLastSave="{00000000-0000-0000-0000-000000000000}"/>
  <bookViews>
    <workbookView xWindow="-38400" yWindow="-900" windowWidth="38400" windowHeight="21600" xr2:uid="{00000000-000D-0000-FFFF-FFFF00000000}"/>
  </bookViews>
  <sheets>
    <sheet name="Hoja 1 - readingExperi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F26" i="1"/>
  <c r="H26" i="1"/>
  <c r="O17" i="1"/>
  <c r="P17" i="1"/>
  <c r="N17" i="1"/>
  <c r="L17" i="1"/>
  <c r="K17" i="1"/>
  <c r="H17" i="1"/>
  <c r="I17" i="1"/>
  <c r="G17" i="1"/>
  <c r="E17" i="1"/>
  <c r="D17" i="1"/>
  <c r="R17" i="1"/>
  <c r="S17" i="1"/>
  <c r="U17" i="1"/>
  <c r="U10" i="1"/>
  <c r="S10" i="1"/>
  <c r="R10" i="1"/>
  <c r="P10" i="1"/>
  <c r="O10" i="1"/>
  <c r="N10" i="1"/>
  <c r="L10" i="1"/>
  <c r="K10" i="1"/>
  <c r="I10" i="1"/>
  <c r="H10" i="1"/>
  <c r="G10" i="1"/>
  <c r="E10" i="1"/>
  <c r="D10" i="1"/>
  <c r="D24" i="1"/>
  <c r="U24" i="1"/>
  <c r="S24" i="1"/>
  <c r="R24" i="1"/>
  <c r="P24" i="1"/>
  <c r="O24" i="1"/>
  <c r="N24" i="1"/>
  <c r="L24" i="1"/>
  <c r="K24" i="1"/>
  <c r="I24" i="1"/>
  <c r="H24" i="1"/>
  <c r="G24" i="1"/>
  <c r="E24" i="1"/>
  <c r="C24" i="1"/>
  <c r="C17" i="1"/>
  <c r="C10" i="1"/>
  <c r="V17" i="1" l="1"/>
  <c r="F28" i="1" s="1"/>
  <c r="H28" i="1" s="1"/>
  <c r="V24" i="1"/>
  <c r="F29" i="1" s="1"/>
  <c r="H29" i="1" s="1"/>
  <c r="V10" i="1"/>
  <c r="F27" i="1" s="1"/>
  <c r="H27" i="1" s="1"/>
</calcChain>
</file>

<file path=xl/sharedStrings.xml><?xml version="1.0" encoding="utf-8"?>
<sst xmlns="http://schemas.openxmlformats.org/spreadsheetml/2006/main" count="400" uniqueCount="154">
  <si>
    <t>readingExperiment</t>
  </si>
  <si>
    <t>ID</t>
  </si>
  <si>
    <t>Profile</t>
  </si>
  <si>
    <t>TimeMinutes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</si>
  <si>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</si>
  <si>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</si>
  <si>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</si>
  <si>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</si>
  <si>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</si>
  <si>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</si>
  <si>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</si>
  <si>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</si>
  <si>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</si>
  <si>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</si>
  <si>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</si>
  <si>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</si>
  <si>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</si>
  <si>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</si>
  <si>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</si>
  <si>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R1</t>
  </si>
  <si>
    <t>ML</t>
  </si>
  <si>
    <t>User task execution data</t>
  </si>
  <si>
    <t>Message reception</t>
  </si>
  <si>
    <t>Config1 is message-oriented using AMQP while config2 is HTTP-based</t>
  </si>
  <si>
    <t>correlation-key</t>
  </si>
  <si>
    <t>Duration of manual inspection</t>
  </si>
  <si>
    <t>substract</t>
  </si>
  <si>
    <t>Defines the event where the feature is computed</t>
  </si>
  <si>
    <t>Time interval for aggregation</t>
  </si>
  <si>
    <t>Links IoT data with process instances using batchId</t>
  </si>
  <si>
    <t>Define how features are combined into a dataset</t>
  </si>
  <si>
    <t>As a separate attribute referencing a feature</t>
  </si>
  <si>
    <t>Defines how data is split into train, validation and test sets</t>
  </si>
  <si>
    <t>Classification</t>
  </si>
  <si>
    <t>Random Forest</t>
  </si>
  <si>
    <t>Controls model parameters like trees and depth</t>
  </si>
  <si>
    <t>When the model is trained</t>
  </si>
  <si>
    <t>Rows with missing values are removed</t>
  </si>
  <si>
    <t>R2</t>
  </si>
  <si>
    <t>One uses messaging while the other uses HTTP APIs</t>
  </si>
  <si>
    <t>Specifies when the feature is calculated</t>
  </si>
  <si>
    <t>Connects IoT data with process instances</t>
  </si>
  <si>
    <t>Splits dataset for training and validation</t>
  </si>
  <si>
    <t>Defines algorithm configuration</t>
  </si>
  <si>
    <t>R3</t>
  </si>
  <si>
    <t>Message broker vs REST API communication</t>
  </si>
  <si>
    <t>Defines computation point in process</t>
  </si>
  <si>
    <t>Associates IoT data with batchId</t>
  </si>
  <si>
    <t>Divides dataset into subsets</t>
  </si>
  <si>
    <t>Controls training behaviour</t>
  </si>
  <si>
    <t>R4</t>
  </si>
  <si>
    <t>AMQP messaging vs HTTP polling</t>
  </si>
  <si>
    <t>Defines process event for feature calculation</t>
  </si>
  <si>
    <t>Ensures correct mapping between IoT and process data</t>
  </si>
  <si>
    <t>Defines train validation test proportions</t>
  </si>
  <si>
    <t>Defines hyperparameters like depth and estimators</t>
  </si>
  <si>
    <t>R5</t>
  </si>
  <si>
    <t>Different communication protocols</t>
  </si>
  <si>
    <t>Indicates when feature is computed</t>
  </si>
  <si>
    <t>Links sensor data to process instance</t>
  </si>
  <si>
    <t>Splits data for training</t>
  </si>
  <si>
    <t>Configures model parameters</t>
  </si>
  <si>
    <t>R6</t>
  </si>
  <si>
    <t>Message vs HTTP communication</t>
  </si>
  <si>
    <t>Defines execution point</t>
  </si>
  <si>
    <t>Relates IoT to process using id</t>
  </si>
  <si>
    <t>Separates training and validation data</t>
  </si>
  <si>
    <t>Sets model configuration</t>
  </si>
  <si>
    <t>R7</t>
  </si>
  <si>
    <t>R8</t>
  </si>
  <si>
    <t>BPM</t>
  </si>
  <si>
    <t>They use different communication approaches</t>
  </si>
  <si>
    <t>Indicates when feature is calculated</t>
  </si>
  <si>
    <t>Connects IoT data to process</t>
  </si>
  <si>
    <t>Defines parameters</t>
  </si>
  <si>
    <t>R9</t>
  </si>
  <si>
    <t>Different technologies for IoT integration</t>
  </si>
  <si>
    <t>Defines moment of calculation</t>
  </si>
  <si>
    <t>Links IoT with process data</t>
  </si>
  <si>
    <t>Separates training data</t>
  </si>
  <si>
    <t>Configures model</t>
  </si>
  <si>
    <t>R10</t>
  </si>
  <si>
    <t>Different protocols</t>
  </si>
  <si>
    <t>Defines execution time</t>
  </si>
  <si>
    <t>Associates data with process</t>
  </si>
  <si>
    <t>Splits dataset</t>
  </si>
  <si>
    <t>R11</t>
  </si>
  <si>
    <t>AMQP vs HTTP</t>
  </si>
  <si>
    <t>Defines calculation point</t>
  </si>
  <si>
    <t>Links IoT data</t>
  </si>
  <si>
    <t>Splits dataset into parts</t>
  </si>
  <si>
    <t>Sets configuration</t>
  </si>
  <si>
    <t>R12</t>
  </si>
  <si>
    <t>Different integration mechanisms</t>
  </si>
  <si>
    <t>Indicates when feature is executed</t>
  </si>
  <si>
    <t>Relates IoT and process</t>
  </si>
  <si>
    <t>Defines dataset split</t>
  </si>
  <si>
    <t>Defines training parameters</t>
  </si>
  <si>
    <t>R13</t>
  </si>
  <si>
    <t>IoT</t>
  </si>
  <si>
    <t>Message-based vs HTTP-based sensors</t>
  </si>
  <si>
    <t>Defines when feature is computed</t>
  </si>
  <si>
    <t>Maps IoT data to batchId</t>
  </si>
  <si>
    <t>Defines hyperparameters</t>
  </si>
  <si>
    <t>R14</t>
  </si>
  <si>
    <t>AMQP vs REST APIs</t>
  </si>
  <si>
    <t>Defines event for calculation</t>
  </si>
  <si>
    <t>Links IoT streams with process</t>
  </si>
  <si>
    <t>Train validation test split</t>
  </si>
  <si>
    <t>R15</t>
  </si>
  <si>
    <t>Different IoT communication paradigms</t>
  </si>
  <si>
    <t>Defines computation event</t>
  </si>
  <si>
    <t>Associates IoT data with process instance</t>
  </si>
  <si>
    <t>Dataset splitting</t>
  </si>
  <si>
    <t>Controls model parameters</t>
  </si>
  <si>
    <t>R16</t>
  </si>
  <si>
    <t>Message broker vs HTTP polling</t>
  </si>
  <si>
    <t>Defines when feature runs</t>
  </si>
  <si>
    <t>Links sensor data to process</t>
  </si>
  <si>
    <t>Splits data</t>
  </si>
  <si>
    <t>R17</t>
  </si>
  <si>
    <t>Maps IoT data to process</t>
  </si>
  <si>
    <t>Train test split</t>
  </si>
  <si>
    <t>Configures parameters</t>
  </si>
  <si>
    <t>R18</t>
  </si>
  <si>
    <t>Different protocols for IoT data</t>
  </si>
  <si>
    <t>Defines event</t>
  </si>
  <si>
    <t>Links IoT to process</t>
  </si>
  <si>
    <t>Defines model configuration</t>
  </si>
  <si>
    <t>Q1</t>
  </si>
  <si>
    <t>Q2</t>
  </si>
  <si>
    <t>Q3</t>
  </si>
  <si>
    <t>Well</t>
  </si>
  <si>
    <t>Sensor measurements</t>
  </si>
  <si>
    <t>Timer event</t>
  </si>
  <si>
    <t>topic</t>
  </si>
  <si>
    <t>Questions</t>
  </si>
  <si>
    <t>Dataset column definition</t>
  </si>
  <si>
    <t>Time between batch reception and inspection</t>
  </si>
  <si>
    <t>schema</t>
  </si>
  <si>
    <t>Task completion</t>
  </si>
  <si>
    <t>Output variable name</t>
  </si>
  <si>
    <t>Ignore values</t>
  </si>
  <si>
    <t>As a feature</t>
  </si>
  <si>
    <t>Model deployment</t>
  </si>
  <si>
    <t>Dataset creation</t>
  </si>
  <si>
    <t>Filtering condition</t>
  </si>
  <si>
    <t>Feature transformation</t>
  </si>
  <si>
    <t>Define process execution</t>
  </si>
  <si>
    <t>Config1uses message queuing system with subscription-based data retrieval. Config2 Uses REST API calls with periodic polling</t>
  </si>
  <si>
    <t>To define the sampling point when data from different sources should be evaluated and combined for each feature.</t>
  </si>
  <si>
    <t>Data Filtering and Consistency Across Heterogeneous Sources</t>
  </si>
  <si>
    <t>How the dataset is split into training, validation, and testing subsets for ML model development</t>
  </si>
  <si>
    <t>To configure the specific settings and behavior of the ML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</si>
</sst>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2" fontId="0" fillId="0" borderId="7" xfId="0" applyNumberFormat="1" applyBorder="1" applyAlignment="1">
      <alignment vertical="top"/>
    </xf>
    <xf numFmtId="0" fontId="3" fillId="0" borderId="0" xfId="0" applyNumberFormat="1" applyFont="1" applyAlignment="1">
      <alignment vertical="top"/>
    </xf>
    <xf numFmtId="49" fontId="3" fillId="0" borderId="7" xfId="0" applyNumberFormat="1" applyFont="1" applyBorder="1" applyAlignment="1">
      <alignment vertical="top"/>
    </xf>
    <xf numFmtId="10" fontId="0" fillId="0" borderId="0" xfId="0" applyNumberFormat="1" applyAlignment="1">
      <alignment vertical="top"/>
    </xf>
    <xf numFmtId="49" fontId="3" fillId="0" borderId="4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9"/>
  <sheetViews>
    <sheetView showGridLines="0" tabSelected="1" topLeftCell="N1" zoomScale="120" zoomScaleNormal="120" workbookViewId="0">
      <selection activeCell="T11" sqref="T11"/>
    </sheetView>
  </sheetViews>
  <sheetFormatPr baseColWidth="10" defaultColWidth="8.33203125" defaultRowHeight="20" customHeight="1" x14ac:dyDescent="0.15"/>
  <cols>
    <col min="1" max="1" width="4.5" style="1" customWidth="1"/>
    <col min="2" max="2" width="6.6640625" style="1" customWidth="1"/>
    <col min="3" max="3" width="11.6640625" style="1" customWidth="1"/>
    <col min="4" max="4" width="20" style="1" customWidth="1"/>
    <col min="5" max="5" width="15.6640625" style="1" customWidth="1"/>
    <col min="6" max="7" width="75.1640625" style="1" customWidth="1"/>
    <col min="8" max="8" width="31.83203125" style="1" customWidth="1"/>
    <col min="9" max="9" width="8.5" style="1" customWidth="1"/>
    <col min="10" max="10" width="37.5" style="1" customWidth="1"/>
    <col min="11" max="11" width="22.6640625" style="1" customWidth="1"/>
    <col min="12" max="12" width="40.83203125" style="1" customWidth="1"/>
    <col min="13" max="13" width="51" style="1" customWidth="1"/>
    <col min="14" max="14" width="37.6640625" style="1" customWidth="1"/>
    <col min="15" max="15" width="22.83203125" style="1" customWidth="1"/>
    <col min="16" max="16" width="34.1640625" style="1" customWidth="1"/>
    <col min="17" max="17" width="44.83203125" style="1" customWidth="1"/>
    <col min="18" max="18" width="11.33203125" style="1" customWidth="1"/>
    <col min="19" max="19" width="13" style="1" customWidth="1"/>
    <col min="20" max="20" width="48.6640625" style="1" customWidth="1"/>
    <col min="21" max="21" width="21" style="1" customWidth="1"/>
    <col min="22" max="22" width="8.33203125" style="1" customWidth="1"/>
    <col min="23" max="16384" width="8.33203125" style="1"/>
  </cols>
  <sheetData>
    <row r="1" spans="1:22" ht="27.75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2" ht="20.25" customHeight="1" x14ac:dyDescent="0.15">
      <c r="A2" s="2" t="s">
        <v>1</v>
      </c>
      <c r="B2" s="2" t="s">
        <v>2</v>
      </c>
      <c r="C2" s="2" t="s">
        <v>3</v>
      </c>
      <c r="D2" s="2" t="s">
        <v>129</v>
      </c>
      <c r="E2" s="2" t="s">
        <v>130</v>
      </c>
      <c r="F2" s="2" t="s">
        <v>131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</row>
    <row r="3" spans="1:22" ht="20.25" customHeight="1" x14ac:dyDescent="0.15">
      <c r="A3" s="3" t="s">
        <v>19</v>
      </c>
      <c r="B3" s="4" t="s">
        <v>20</v>
      </c>
      <c r="C3" s="5">
        <v>11</v>
      </c>
      <c r="D3" s="6" t="s">
        <v>21</v>
      </c>
      <c r="E3" s="19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37</v>
      </c>
      <c r="M3" s="6" t="s">
        <v>29</v>
      </c>
      <c r="N3" s="6" t="s">
        <v>30</v>
      </c>
      <c r="O3" s="19" t="s">
        <v>137</v>
      </c>
      <c r="P3" s="6" t="s">
        <v>31</v>
      </c>
      <c r="Q3" s="6" t="s">
        <v>32</v>
      </c>
      <c r="R3" s="6" t="s">
        <v>33</v>
      </c>
      <c r="S3" s="6" t="s">
        <v>34</v>
      </c>
      <c r="T3" s="6" t="s">
        <v>35</v>
      </c>
      <c r="U3" s="6" t="s">
        <v>36</v>
      </c>
    </row>
    <row r="4" spans="1:22" ht="20" customHeight="1" x14ac:dyDescent="0.15">
      <c r="A4" s="7" t="s">
        <v>38</v>
      </c>
      <c r="B4" s="8" t="s">
        <v>20</v>
      </c>
      <c r="C4" s="9">
        <v>12</v>
      </c>
      <c r="D4" s="10" t="s">
        <v>21</v>
      </c>
      <c r="E4" s="10" t="s">
        <v>22</v>
      </c>
      <c r="F4" s="10" t="s">
        <v>39</v>
      </c>
      <c r="G4" s="17" t="s">
        <v>139</v>
      </c>
      <c r="H4" s="10" t="s">
        <v>25</v>
      </c>
      <c r="I4" s="10" t="s">
        <v>26</v>
      </c>
      <c r="J4" s="10" t="s">
        <v>40</v>
      </c>
      <c r="K4" s="10" t="s">
        <v>28</v>
      </c>
      <c r="L4" s="10" t="s">
        <v>37</v>
      </c>
      <c r="M4" s="10" t="s">
        <v>41</v>
      </c>
      <c r="N4" s="10" t="s">
        <v>30</v>
      </c>
      <c r="O4" s="19" t="s">
        <v>137</v>
      </c>
      <c r="P4" s="10" t="s">
        <v>31</v>
      </c>
      <c r="Q4" s="10" t="s">
        <v>42</v>
      </c>
      <c r="R4" s="10" t="s">
        <v>33</v>
      </c>
      <c r="S4" s="10" t="s">
        <v>34</v>
      </c>
      <c r="T4" s="10" t="s">
        <v>43</v>
      </c>
      <c r="U4" s="10" t="s">
        <v>36</v>
      </c>
    </row>
    <row r="5" spans="1:22" ht="20" customHeight="1" x14ac:dyDescent="0.15">
      <c r="A5" s="7" t="s">
        <v>44</v>
      </c>
      <c r="B5" s="8" t="s">
        <v>20</v>
      </c>
      <c r="C5" s="9">
        <v>13</v>
      </c>
      <c r="D5" s="17" t="s">
        <v>21</v>
      </c>
      <c r="E5" s="17" t="s">
        <v>140</v>
      </c>
      <c r="F5" s="10" t="s">
        <v>45</v>
      </c>
      <c r="G5" s="10" t="s">
        <v>24</v>
      </c>
      <c r="H5" s="10" t="s">
        <v>25</v>
      </c>
      <c r="I5" s="10" t="s">
        <v>26</v>
      </c>
      <c r="J5" s="10" t="s">
        <v>46</v>
      </c>
      <c r="K5" s="10" t="s">
        <v>28</v>
      </c>
      <c r="L5" s="10" t="s">
        <v>37</v>
      </c>
      <c r="M5" s="10" t="s">
        <v>47</v>
      </c>
      <c r="N5" s="10" t="s">
        <v>30</v>
      </c>
      <c r="O5" s="19" t="s">
        <v>137</v>
      </c>
      <c r="P5" s="10" t="s">
        <v>31</v>
      </c>
      <c r="Q5" s="10" t="s">
        <v>48</v>
      </c>
      <c r="R5" s="10" t="s">
        <v>33</v>
      </c>
      <c r="S5" s="10" t="s">
        <v>34</v>
      </c>
      <c r="T5" s="10" t="s">
        <v>49</v>
      </c>
      <c r="U5" s="10" t="s">
        <v>36</v>
      </c>
    </row>
    <row r="6" spans="1:22" ht="20" customHeight="1" x14ac:dyDescent="0.15">
      <c r="A6" s="7" t="s">
        <v>50</v>
      </c>
      <c r="B6" s="8" t="s">
        <v>20</v>
      </c>
      <c r="C6" s="9">
        <v>10</v>
      </c>
      <c r="D6" s="10" t="s">
        <v>21</v>
      </c>
      <c r="E6" s="10" t="s">
        <v>22</v>
      </c>
      <c r="F6" s="10" t="s">
        <v>51</v>
      </c>
      <c r="G6" s="10" t="s">
        <v>24</v>
      </c>
      <c r="H6" s="17" t="s">
        <v>138</v>
      </c>
      <c r="I6" s="10" t="s">
        <v>26</v>
      </c>
      <c r="J6" s="10" t="s">
        <v>52</v>
      </c>
      <c r="K6" s="10" t="s">
        <v>28</v>
      </c>
      <c r="L6" s="10" t="s">
        <v>37</v>
      </c>
      <c r="M6" s="10" t="s">
        <v>53</v>
      </c>
      <c r="N6" s="10" t="s">
        <v>30</v>
      </c>
      <c r="O6" s="19" t="s">
        <v>137</v>
      </c>
      <c r="P6" s="10" t="s">
        <v>31</v>
      </c>
      <c r="Q6" s="10" t="s">
        <v>54</v>
      </c>
      <c r="R6" s="10" t="s">
        <v>33</v>
      </c>
      <c r="S6" s="10" t="s">
        <v>34</v>
      </c>
      <c r="T6" s="10" t="s">
        <v>55</v>
      </c>
      <c r="U6" s="10" t="s">
        <v>36</v>
      </c>
    </row>
    <row r="7" spans="1:22" ht="20" customHeight="1" x14ac:dyDescent="0.15">
      <c r="A7" s="7" t="s">
        <v>56</v>
      </c>
      <c r="B7" s="8" t="s">
        <v>20</v>
      </c>
      <c r="C7" s="9">
        <v>12</v>
      </c>
      <c r="D7" s="17" t="s">
        <v>133</v>
      </c>
      <c r="E7" s="10" t="s">
        <v>22</v>
      </c>
      <c r="F7" s="10" t="s">
        <v>57</v>
      </c>
      <c r="G7" s="10" t="s">
        <v>24</v>
      </c>
      <c r="H7" s="10" t="s">
        <v>25</v>
      </c>
      <c r="I7" s="10" t="s">
        <v>26</v>
      </c>
      <c r="J7" s="10" t="s">
        <v>58</v>
      </c>
      <c r="K7" s="10" t="s">
        <v>28</v>
      </c>
      <c r="L7" s="10" t="s">
        <v>37</v>
      </c>
      <c r="M7" s="10" t="s">
        <v>59</v>
      </c>
      <c r="N7" s="10" t="s">
        <v>30</v>
      </c>
      <c r="O7" s="19" t="s">
        <v>137</v>
      </c>
      <c r="P7" s="17" t="s">
        <v>31</v>
      </c>
      <c r="Q7" s="10" t="s">
        <v>60</v>
      </c>
      <c r="R7" s="10" t="s">
        <v>33</v>
      </c>
      <c r="S7" s="10" t="s">
        <v>34</v>
      </c>
      <c r="T7" s="10" t="s">
        <v>61</v>
      </c>
      <c r="U7" s="10" t="s">
        <v>36</v>
      </c>
    </row>
    <row r="8" spans="1:22" ht="20" customHeight="1" x14ac:dyDescent="0.15">
      <c r="A8" s="7" t="s">
        <v>62</v>
      </c>
      <c r="B8" s="8" t="s">
        <v>20</v>
      </c>
      <c r="C8" s="9">
        <v>14</v>
      </c>
      <c r="D8" s="10" t="s">
        <v>21</v>
      </c>
      <c r="E8" s="17" t="s">
        <v>134</v>
      </c>
      <c r="F8" s="10" t="s">
        <v>63</v>
      </c>
      <c r="G8" s="10" t="s">
        <v>24</v>
      </c>
      <c r="H8" s="10" t="s">
        <v>25</v>
      </c>
      <c r="I8" s="10" t="s">
        <v>26</v>
      </c>
      <c r="J8" s="10" t="s">
        <v>64</v>
      </c>
      <c r="K8" s="10" t="s">
        <v>28</v>
      </c>
      <c r="L8" s="10" t="s">
        <v>37</v>
      </c>
      <c r="M8" s="10" t="s">
        <v>65</v>
      </c>
      <c r="N8" s="10" t="s">
        <v>30</v>
      </c>
      <c r="O8" s="19" t="s">
        <v>137</v>
      </c>
      <c r="P8" s="10" t="s">
        <v>31</v>
      </c>
      <c r="Q8" s="10" t="s">
        <v>66</v>
      </c>
      <c r="R8" s="10" t="s">
        <v>33</v>
      </c>
      <c r="S8" s="10" t="s">
        <v>34</v>
      </c>
      <c r="T8" s="10" t="s">
        <v>67</v>
      </c>
      <c r="U8" s="10" t="s">
        <v>36</v>
      </c>
    </row>
    <row r="9" spans="1:22" ht="20" customHeight="1" x14ac:dyDescent="0.15">
      <c r="A9" s="7" t="s">
        <v>68</v>
      </c>
      <c r="B9" s="8" t="s">
        <v>20</v>
      </c>
      <c r="C9" s="9">
        <v>11</v>
      </c>
      <c r="D9" s="10" t="s">
        <v>21</v>
      </c>
      <c r="E9" s="10" t="s">
        <v>22</v>
      </c>
      <c r="F9" s="17" t="s">
        <v>149</v>
      </c>
      <c r="G9" s="10" t="s">
        <v>24</v>
      </c>
      <c r="H9" s="10" t="s">
        <v>25</v>
      </c>
      <c r="I9" s="10" t="s">
        <v>26</v>
      </c>
      <c r="J9" s="17" t="s">
        <v>150</v>
      </c>
      <c r="K9" s="10" t="s">
        <v>28</v>
      </c>
      <c r="L9" s="10" t="s">
        <v>37</v>
      </c>
      <c r="M9" s="17" t="s">
        <v>151</v>
      </c>
      <c r="N9" s="10" t="s">
        <v>30</v>
      </c>
      <c r="O9" s="19" t="s">
        <v>137</v>
      </c>
      <c r="P9" s="10" t="s">
        <v>31</v>
      </c>
      <c r="Q9" s="17" t="s">
        <v>152</v>
      </c>
      <c r="R9" s="10" t="s">
        <v>33</v>
      </c>
      <c r="S9" s="10" t="s">
        <v>34</v>
      </c>
      <c r="T9" s="17" t="s">
        <v>153</v>
      </c>
      <c r="U9" s="10" t="s">
        <v>36</v>
      </c>
    </row>
    <row r="10" spans="1:22" ht="20" customHeight="1" x14ac:dyDescent="0.15">
      <c r="A10" s="11"/>
      <c r="B10" s="12"/>
      <c r="C10" s="15">
        <f>AVERAGE(C3:C9)</f>
        <v>11.857142857142858</v>
      </c>
      <c r="D10" s="1">
        <f>COUNTIF(D3:D9,$D$23)</f>
        <v>6</v>
      </c>
      <c r="E10" s="1">
        <f>COUNTIF(E3:E9,$E$23)</f>
        <v>5</v>
      </c>
      <c r="F10" s="13">
        <v>6</v>
      </c>
      <c r="G10" s="1">
        <f>COUNTIF(G3:G9,$G$23)</f>
        <v>6</v>
      </c>
      <c r="H10" s="1">
        <f>COUNTIF(H3:H9,$H$23)</f>
        <v>6</v>
      </c>
      <c r="I10" s="1">
        <f>COUNTIF(I3:I9,$I$23)</f>
        <v>7</v>
      </c>
      <c r="J10" s="13">
        <v>7</v>
      </c>
      <c r="K10" s="1">
        <f>COUNTIF(K3:K9,K23)</f>
        <v>7</v>
      </c>
      <c r="L10" s="1">
        <f>COUNTIF(L3:L9,L23)</f>
        <v>7</v>
      </c>
      <c r="M10" s="13">
        <v>6</v>
      </c>
      <c r="N10" s="1">
        <f>COUNTIF(N3:N9,N23)</f>
        <v>7</v>
      </c>
      <c r="O10" s="1">
        <f>COUNTIF(O3:O9,O23)</f>
        <v>7</v>
      </c>
      <c r="P10" s="1">
        <f>COUNTIF(P3:P9,P23)</f>
        <v>7</v>
      </c>
      <c r="Q10" s="13">
        <v>7</v>
      </c>
      <c r="R10" s="1">
        <f>COUNTIF(R3:R9,R23)</f>
        <v>7</v>
      </c>
      <c r="S10" s="1">
        <f>COUNTIF(S3:S9,S23)</f>
        <v>7</v>
      </c>
      <c r="T10" s="13">
        <v>7</v>
      </c>
      <c r="U10" s="1">
        <f>COUNTIF(U3:U9,U23)</f>
        <v>7</v>
      </c>
      <c r="V10" s="1">
        <f>SUM(D10:U10)</f>
        <v>119</v>
      </c>
    </row>
    <row r="11" spans="1:22" ht="20" customHeight="1" x14ac:dyDescent="0.15">
      <c r="A11" s="7" t="s">
        <v>69</v>
      </c>
      <c r="B11" s="8" t="s">
        <v>70</v>
      </c>
      <c r="C11" s="9">
        <v>18</v>
      </c>
      <c r="D11" s="10" t="s">
        <v>21</v>
      </c>
      <c r="E11" s="10" t="s">
        <v>22</v>
      </c>
      <c r="F11" s="10" t="s">
        <v>71</v>
      </c>
      <c r="G11" s="10" t="s">
        <v>24</v>
      </c>
      <c r="H11" s="10" t="s">
        <v>25</v>
      </c>
      <c r="I11" s="10" t="s">
        <v>26</v>
      </c>
      <c r="J11" s="10" t="s">
        <v>72</v>
      </c>
      <c r="K11" s="10" t="s">
        <v>28</v>
      </c>
      <c r="L11" s="10" t="s">
        <v>37</v>
      </c>
      <c r="M11" s="10" t="s">
        <v>73</v>
      </c>
      <c r="N11" s="17" t="s">
        <v>148</v>
      </c>
      <c r="O11" s="17" t="s">
        <v>147</v>
      </c>
      <c r="P11" s="10" t="s">
        <v>31</v>
      </c>
      <c r="Q11" s="10" t="s">
        <v>60</v>
      </c>
      <c r="R11" s="10" t="s">
        <v>33</v>
      </c>
      <c r="S11" s="10" t="s">
        <v>34</v>
      </c>
      <c r="T11" s="10" t="s">
        <v>74</v>
      </c>
      <c r="U11" s="10" t="s">
        <v>36</v>
      </c>
    </row>
    <row r="12" spans="1:22" ht="20" customHeight="1" x14ac:dyDescent="0.15">
      <c r="A12" s="7" t="s">
        <v>75</v>
      </c>
      <c r="B12" s="8" t="s">
        <v>70</v>
      </c>
      <c r="C12" s="9">
        <v>19</v>
      </c>
      <c r="D12" s="10" t="s">
        <v>21</v>
      </c>
      <c r="E12" s="10" t="s">
        <v>22</v>
      </c>
      <c r="F12" s="10" t="s">
        <v>76</v>
      </c>
      <c r="G12" s="17" t="s">
        <v>139</v>
      </c>
      <c r="H12" s="10" t="s">
        <v>25</v>
      </c>
      <c r="I12" s="10" t="s">
        <v>26</v>
      </c>
      <c r="J12" s="10" t="s">
        <v>77</v>
      </c>
      <c r="K12" s="17" t="s">
        <v>141</v>
      </c>
      <c r="L12" s="10" t="s">
        <v>37</v>
      </c>
      <c r="M12" s="10" t="s">
        <v>78</v>
      </c>
      <c r="N12" s="10" t="s">
        <v>30</v>
      </c>
      <c r="O12" s="17" t="s">
        <v>137</v>
      </c>
      <c r="P12" s="10" t="s">
        <v>31</v>
      </c>
      <c r="Q12" s="10" t="s">
        <v>79</v>
      </c>
      <c r="R12" s="10" t="s">
        <v>33</v>
      </c>
      <c r="S12" s="10" t="s">
        <v>34</v>
      </c>
      <c r="T12" s="10" t="s">
        <v>80</v>
      </c>
      <c r="U12" s="10" t="s">
        <v>36</v>
      </c>
    </row>
    <row r="13" spans="1:22" ht="20" customHeight="1" x14ac:dyDescent="0.15">
      <c r="A13" s="7" t="s">
        <v>81</v>
      </c>
      <c r="B13" s="8" t="s">
        <v>70</v>
      </c>
      <c r="C13" s="9">
        <v>20</v>
      </c>
      <c r="D13" s="10" t="s">
        <v>21</v>
      </c>
      <c r="E13" s="10" t="s">
        <v>22</v>
      </c>
      <c r="F13" s="10" t="s">
        <v>82</v>
      </c>
      <c r="G13" s="10" t="s">
        <v>24</v>
      </c>
      <c r="H13" s="10" t="s">
        <v>25</v>
      </c>
      <c r="I13" s="10" t="s">
        <v>26</v>
      </c>
      <c r="J13" s="10" t="s">
        <v>83</v>
      </c>
      <c r="K13" s="17" t="s">
        <v>28</v>
      </c>
      <c r="L13" s="17" t="s">
        <v>142</v>
      </c>
      <c r="M13" s="10" t="s">
        <v>84</v>
      </c>
      <c r="N13" s="10" t="s">
        <v>30</v>
      </c>
      <c r="O13" s="17" t="s">
        <v>137</v>
      </c>
      <c r="P13" s="17" t="s">
        <v>143</v>
      </c>
      <c r="Q13" s="10" t="s">
        <v>85</v>
      </c>
      <c r="R13" s="10" t="s">
        <v>33</v>
      </c>
      <c r="S13" s="10" t="s">
        <v>34</v>
      </c>
      <c r="T13" s="10" t="s">
        <v>74</v>
      </c>
      <c r="U13" s="17" t="s">
        <v>144</v>
      </c>
    </row>
    <row r="14" spans="1:22" ht="20" customHeight="1" x14ac:dyDescent="0.15">
      <c r="A14" s="7" t="s">
        <v>86</v>
      </c>
      <c r="B14" s="8" t="s">
        <v>70</v>
      </c>
      <c r="C14" s="9">
        <v>17</v>
      </c>
      <c r="D14" s="10" t="s">
        <v>21</v>
      </c>
      <c r="E14" s="10" t="s">
        <v>22</v>
      </c>
      <c r="F14" s="10" t="s">
        <v>87</v>
      </c>
      <c r="G14" s="10" t="s">
        <v>24</v>
      </c>
      <c r="H14" s="10" t="s">
        <v>25</v>
      </c>
      <c r="I14" s="10" t="s">
        <v>26</v>
      </c>
      <c r="J14" s="10" t="s">
        <v>88</v>
      </c>
      <c r="K14" s="17" t="s">
        <v>141</v>
      </c>
      <c r="L14" s="10" t="s">
        <v>37</v>
      </c>
      <c r="M14" s="10" t="s">
        <v>89</v>
      </c>
      <c r="N14" s="10" t="s">
        <v>30</v>
      </c>
      <c r="O14" s="17" t="s">
        <v>146</v>
      </c>
      <c r="P14" s="10" t="s">
        <v>31</v>
      </c>
      <c r="Q14" s="10" t="s">
        <v>90</v>
      </c>
      <c r="R14" s="10" t="s">
        <v>33</v>
      </c>
      <c r="S14" s="10" t="s">
        <v>34</v>
      </c>
      <c r="T14" s="10" t="s">
        <v>91</v>
      </c>
      <c r="U14" s="10" t="s">
        <v>36</v>
      </c>
    </row>
    <row r="15" spans="1:22" ht="20" customHeight="1" x14ac:dyDescent="0.15">
      <c r="A15" s="7" t="s">
        <v>92</v>
      </c>
      <c r="B15" s="8" t="s">
        <v>70</v>
      </c>
      <c r="C15" s="9">
        <v>18</v>
      </c>
      <c r="D15" s="10" t="s">
        <v>21</v>
      </c>
      <c r="E15" s="10" t="s">
        <v>22</v>
      </c>
      <c r="F15" s="10" t="s">
        <v>93</v>
      </c>
      <c r="G15" s="17" t="s">
        <v>135</v>
      </c>
      <c r="H15" s="10" t="s">
        <v>25</v>
      </c>
      <c r="I15" s="10" t="s">
        <v>26</v>
      </c>
      <c r="J15" s="10" t="s">
        <v>94</v>
      </c>
      <c r="K15" s="10" t="s">
        <v>28</v>
      </c>
      <c r="L15" s="17" t="s">
        <v>37</v>
      </c>
      <c r="M15" s="10" t="s">
        <v>95</v>
      </c>
      <c r="N15" s="10" t="s">
        <v>30</v>
      </c>
      <c r="O15" s="17" t="s">
        <v>137</v>
      </c>
      <c r="P15" s="17" t="s">
        <v>143</v>
      </c>
      <c r="Q15" s="10" t="s">
        <v>96</v>
      </c>
      <c r="R15" s="10" t="s">
        <v>33</v>
      </c>
      <c r="S15" s="10" t="s">
        <v>34</v>
      </c>
      <c r="T15" s="10" t="s">
        <v>97</v>
      </c>
      <c r="U15" s="17" t="s">
        <v>145</v>
      </c>
    </row>
    <row r="16" spans="1:22" ht="20" customHeight="1" x14ac:dyDescent="0.15">
      <c r="A16" s="7" t="s">
        <v>98</v>
      </c>
      <c r="B16" s="14" t="s">
        <v>70</v>
      </c>
      <c r="C16" s="9">
        <v>13</v>
      </c>
      <c r="D16" s="10" t="s">
        <v>21</v>
      </c>
      <c r="E16" s="10" t="s">
        <v>22</v>
      </c>
      <c r="F16" s="10" t="s">
        <v>100</v>
      </c>
      <c r="G16" s="10" t="s">
        <v>24</v>
      </c>
      <c r="H16" s="10" t="s">
        <v>25</v>
      </c>
      <c r="I16" s="10" t="s">
        <v>26</v>
      </c>
      <c r="J16" s="10" t="s">
        <v>101</v>
      </c>
      <c r="K16" s="10" t="s">
        <v>28</v>
      </c>
      <c r="L16" s="17" t="s">
        <v>142</v>
      </c>
      <c r="M16" s="10" t="s">
        <v>102</v>
      </c>
      <c r="N16" s="10" t="s">
        <v>30</v>
      </c>
      <c r="O16" s="17" t="s">
        <v>137</v>
      </c>
      <c r="P16" s="10" t="s">
        <v>31</v>
      </c>
      <c r="Q16" s="10" t="s">
        <v>85</v>
      </c>
      <c r="R16" s="10" t="s">
        <v>33</v>
      </c>
      <c r="S16" s="10" t="s">
        <v>34</v>
      </c>
      <c r="T16" s="10" t="s">
        <v>103</v>
      </c>
      <c r="U16" s="10" t="s">
        <v>36</v>
      </c>
    </row>
    <row r="17" spans="1:22" ht="20" customHeight="1" x14ac:dyDescent="0.15">
      <c r="C17" s="15">
        <f>AVERAGE(C11:C16)</f>
        <v>17.5</v>
      </c>
      <c r="D17" s="1">
        <f>COUNTIF(D11:D16,D23)</f>
        <v>6</v>
      </c>
      <c r="E17" s="1">
        <f>COUNTIF(E11:E16,E23)</f>
        <v>6</v>
      </c>
      <c r="F17" s="1">
        <v>5</v>
      </c>
      <c r="G17" s="1">
        <f>COUNTIF(G11:G16,G23)</f>
        <v>4</v>
      </c>
      <c r="H17" s="1">
        <f t="shared" ref="H17:N17" si="0">COUNTIF(H11:H16,H23)</f>
        <v>6</v>
      </c>
      <c r="I17" s="1">
        <f t="shared" si="0"/>
        <v>6</v>
      </c>
      <c r="J17" s="1">
        <v>7</v>
      </c>
      <c r="K17" s="1">
        <f t="shared" si="0"/>
        <v>4</v>
      </c>
      <c r="L17" s="1">
        <f t="shared" si="0"/>
        <v>4</v>
      </c>
      <c r="M17" s="1">
        <v>4</v>
      </c>
      <c r="N17" s="1">
        <f t="shared" si="0"/>
        <v>5</v>
      </c>
      <c r="O17" s="1">
        <f t="shared" ref="O17" si="1">COUNTIF(O11:O16,O23)</f>
        <v>4</v>
      </c>
      <c r="P17" s="1">
        <f t="shared" ref="P17" si="2">COUNTIF(P11:P16,P23)</f>
        <v>4</v>
      </c>
      <c r="Q17" s="1">
        <v>6</v>
      </c>
      <c r="R17" s="1">
        <f>COUNTIF(R11:R16,R23)</f>
        <v>6</v>
      </c>
      <c r="S17" s="1">
        <f>COUNTIF(S11:S16,S23)</f>
        <v>6</v>
      </c>
      <c r="T17" s="1">
        <v>4</v>
      </c>
      <c r="U17" s="1">
        <f>COUNTIF(U11:U16,U23)</f>
        <v>4</v>
      </c>
      <c r="V17" s="1">
        <f>SUM(D17:U17)</f>
        <v>91</v>
      </c>
    </row>
    <row r="18" spans="1:22" ht="20" customHeight="1" x14ac:dyDescent="0.15">
      <c r="A18" s="7" t="s">
        <v>104</v>
      </c>
      <c r="B18" s="8" t="s">
        <v>99</v>
      </c>
      <c r="C18" s="9">
        <v>14</v>
      </c>
      <c r="D18" s="10" t="s">
        <v>21</v>
      </c>
      <c r="E18" s="10" t="s">
        <v>22</v>
      </c>
      <c r="F18" s="10" t="s">
        <v>105</v>
      </c>
      <c r="G18" s="10" t="s">
        <v>24</v>
      </c>
      <c r="H18" s="17" t="s">
        <v>138</v>
      </c>
      <c r="I18" s="10" t="s">
        <v>26</v>
      </c>
      <c r="J18" s="10" t="s">
        <v>106</v>
      </c>
      <c r="K18" s="10" t="s">
        <v>28</v>
      </c>
      <c r="L18" s="10" t="s">
        <v>37</v>
      </c>
      <c r="M18" s="10" t="s">
        <v>107</v>
      </c>
      <c r="N18" s="10" t="s">
        <v>30</v>
      </c>
      <c r="O18" s="17" t="s">
        <v>137</v>
      </c>
      <c r="P18" s="10" t="s">
        <v>31</v>
      </c>
      <c r="Q18" s="10" t="s">
        <v>108</v>
      </c>
      <c r="R18" s="10" t="s">
        <v>33</v>
      </c>
      <c r="S18" s="10" t="s">
        <v>34</v>
      </c>
      <c r="T18" s="10" t="s">
        <v>80</v>
      </c>
      <c r="U18" s="10" t="s">
        <v>36</v>
      </c>
    </row>
    <row r="19" spans="1:22" ht="20" customHeight="1" x14ac:dyDescent="0.15">
      <c r="A19" s="7" t="s">
        <v>109</v>
      </c>
      <c r="B19" s="8" t="s">
        <v>99</v>
      </c>
      <c r="C19" s="9">
        <v>12</v>
      </c>
      <c r="D19" s="10" t="s">
        <v>21</v>
      </c>
      <c r="E19" s="17" t="s">
        <v>140</v>
      </c>
      <c r="F19" s="10" t="s">
        <v>110</v>
      </c>
      <c r="G19" s="10" t="s">
        <v>24</v>
      </c>
      <c r="H19" s="10" t="s">
        <v>25</v>
      </c>
      <c r="I19" s="10" t="s">
        <v>26</v>
      </c>
      <c r="J19" s="10" t="s">
        <v>111</v>
      </c>
      <c r="K19" s="10" t="s">
        <v>28</v>
      </c>
      <c r="L19" s="17" t="s">
        <v>142</v>
      </c>
      <c r="M19" s="10" t="s">
        <v>112</v>
      </c>
      <c r="N19" s="17" t="s">
        <v>30</v>
      </c>
      <c r="O19" s="17" t="s">
        <v>137</v>
      </c>
      <c r="P19" s="10" t="s">
        <v>31</v>
      </c>
      <c r="Q19" s="10" t="s">
        <v>113</v>
      </c>
      <c r="R19" s="10" t="s">
        <v>33</v>
      </c>
      <c r="S19" s="10" t="s">
        <v>34</v>
      </c>
      <c r="T19" s="10" t="s">
        <v>114</v>
      </c>
      <c r="U19" s="10" t="s">
        <v>36</v>
      </c>
    </row>
    <row r="20" spans="1:22" ht="20" customHeight="1" x14ac:dyDescent="0.15">
      <c r="A20" s="7" t="s">
        <v>115</v>
      </c>
      <c r="B20" s="8" t="s">
        <v>99</v>
      </c>
      <c r="C20" s="9">
        <v>15</v>
      </c>
      <c r="D20" s="10" t="s">
        <v>21</v>
      </c>
      <c r="E20" s="10" t="s">
        <v>22</v>
      </c>
      <c r="F20" s="10" t="s">
        <v>116</v>
      </c>
      <c r="G20" s="10" t="s">
        <v>24</v>
      </c>
      <c r="H20" s="10" t="s">
        <v>25</v>
      </c>
      <c r="I20" s="10" t="s">
        <v>26</v>
      </c>
      <c r="J20" s="10" t="s">
        <v>117</v>
      </c>
      <c r="K20" s="10" t="s">
        <v>28</v>
      </c>
      <c r="L20" s="10" t="s">
        <v>37</v>
      </c>
      <c r="M20" s="10" t="s">
        <v>118</v>
      </c>
      <c r="N20" s="10" t="s">
        <v>30</v>
      </c>
      <c r="O20" s="17" t="s">
        <v>137</v>
      </c>
      <c r="P20" s="17" t="s">
        <v>143</v>
      </c>
      <c r="Q20" s="10" t="s">
        <v>119</v>
      </c>
      <c r="R20" s="10" t="s">
        <v>33</v>
      </c>
      <c r="S20" s="10" t="s">
        <v>34</v>
      </c>
      <c r="T20" s="10" t="s">
        <v>103</v>
      </c>
      <c r="U20" s="10" t="s">
        <v>36</v>
      </c>
    </row>
    <row r="21" spans="1:22" ht="20" customHeight="1" x14ac:dyDescent="0.15">
      <c r="A21" s="7" t="s">
        <v>120</v>
      </c>
      <c r="B21" s="8" t="s">
        <v>99</v>
      </c>
      <c r="C21" s="9">
        <v>14</v>
      </c>
      <c r="D21" s="10" t="s">
        <v>21</v>
      </c>
      <c r="E21" s="10" t="s">
        <v>22</v>
      </c>
      <c r="F21" s="10" t="s">
        <v>87</v>
      </c>
      <c r="G21" s="10" t="s">
        <v>24</v>
      </c>
      <c r="H21" s="17" t="s">
        <v>138</v>
      </c>
      <c r="I21" s="10" t="s">
        <v>26</v>
      </c>
      <c r="J21" s="10" t="s">
        <v>88</v>
      </c>
      <c r="K21" s="10" t="s">
        <v>28</v>
      </c>
      <c r="L21" s="10" t="s">
        <v>37</v>
      </c>
      <c r="M21" s="10" t="s">
        <v>121</v>
      </c>
      <c r="N21" s="10" t="s">
        <v>30</v>
      </c>
      <c r="O21" s="17" t="s">
        <v>137</v>
      </c>
      <c r="P21" s="10" t="s">
        <v>31</v>
      </c>
      <c r="Q21" s="10" t="s">
        <v>122</v>
      </c>
      <c r="R21" s="10" t="s">
        <v>33</v>
      </c>
      <c r="S21" s="10" t="s">
        <v>34</v>
      </c>
      <c r="T21" s="10" t="s">
        <v>123</v>
      </c>
      <c r="U21" s="10" t="s">
        <v>36</v>
      </c>
    </row>
    <row r="22" spans="1:22" ht="20" customHeight="1" x14ac:dyDescent="0.15">
      <c r="A22" s="7" t="s">
        <v>124</v>
      </c>
      <c r="B22" s="8" t="s">
        <v>99</v>
      </c>
      <c r="C22" s="9">
        <v>16</v>
      </c>
      <c r="D22" s="10" t="s">
        <v>21</v>
      </c>
      <c r="E22" s="10" t="s">
        <v>22</v>
      </c>
      <c r="F22" s="10" t="s">
        <v>125</v>
      </c>
      <c r="G22" s="10" t="s">
        <v>24</v>
      </c>
      <c r="H22" s="10" t="s">
        <v>25</v>
      </c>
      <c r="I22" s="10" t="s">
        <v>26</v>
      </c>
      <c r="J22" s="10" t="s">
        <v>126</v>
      </c>
      <c r="K22" s="10" t="s">
        <v>28</v>
      </c>
      <c r="L22" s="17" t="s">
        <v>37</v>
      </c>
      <c r="M22" s="10" t="s">
        <v>127</v>
      </c>
      <c r="N22" s="10" t="s">
        <v>30</v>
      </c>
      <c r="O22" s="17" t="s">
        <v>137</v>
      </c>
      <c r="P22" s="10" t="s">
        <v>31</v>
      </c>
      <c r="Q22" s="10" t="s">
        <v>85</v>
      </c>
      <c r="R22" s="10" t="s">
        <v>33</v>
      </c>
      <c r="S22" s="10" t="s">
        <v>34</v>
      </c>
      <c r="T22" s="10" t="s">
        <v>128</v>
      </c>
      <c r="U22" s="10" t="s">
        <v>36</v>
      </c>
    </row>
    <row r="23" spans="1:22" ht="20" customHeight="1" x14ac:dyDescent="0.15">
      <c r="D23" s="10" t="s">
        <v>21</v>
      </c>
      <c r="E23" s="17" t="s">
        <v>22</v>
      </c>
      <c r="G23" s="10" t="s">
        <v>24</v>
      </c>
      <c r="H23" s="10" t="s">
        <v>25</v>
      </c>
      <c r="I23" s="10" t="s">
        <v>26</v>
      </c>
      <c r="K23" s="10" t="s">
        <v>28</v>
      </c>
      <c r="L23" s="10" t="s">
        <v>37</v>
      </c>
      <c r="N23" s="10" t="s">
        <v>30</v>
      </c>
      <c r="O23" s="17" t="s">
        <v>137</v>
      </c>
      <c r="P23" s="10" t="s">
        <v>31</v>
      </c>
      <c r="R23" s="10" t="s">
        <v>33</v>
      </c>
      <c r="S23" s="10" t="s">
        <v>34</v>
      </c>
      <c r="U23" s="10" t="s">
        <v>36</v>
      </c>
    </row>
    <row r="24" spans="1:22" ht="20" customHeight="1" x14ac:dyDescent="0.15">
      <c r="C24" s="15">
        <f>AVERAGE(C18:C22)</f>
        <v>14.2</v>
      </c>
      <c r="D24" s="1">
        <f>COUNTIF(D18:D22,$D$23)</f>
        <v>5</v>
      </c>
      <c r="E24" s="1">
        <f>COUNTIF(E18:E22,E23)</f>
        <v>4</v>
      </c>
      <c r="F24" s="1">
        <v>5</v>
      </c>
      <c r="G24" s="1">
        <f>COUNTIF(G18:G22,G23)</f>
        <v>5</v>
      </c>
      <c r="H24" s="1">
        <f>COUNTIF(H18:H22,H23)</f>
        <v>3</v>
      </c>
      <c r="I24" s="1">
        <f>COUNTIF(I18:I22,I23)</f>
        <v>5</v>
      </c>
      <c r="J24" s="1">
        <v>4</v>
      </c>
      <c r="K24" s="1">
        <f>COUNTIF(K18:K22,K23)</f>
        <v>5</v>
      </c>
      <c r="L24" s="1">
        <f>COUNTIF(L18:L22,L23)</f>
        <v>4</v>
      </c>
      <c r="M24" s="1">
        <v>5</v>
      </c>
      <c r="N24" s="1">
        <f>COUNTIF(N18:N22,N23)</f>
        <v>5</v>
      </c>
      <c r="O24" s="1">
        <f>COUNTIF(O18:O22,O23)</f>
        <v>5</v>
      </c>
      <c r="P24" s="1">
        <f>COUNTIF(P18:P22,P23)</f>
        <v>4</v>
      </c>
      <c r="Q24" s="1">
        <v>5</v>
      </c>
      <c r="R24" s="1">
        <f>COUNTIF(R18:R22,R23)</f>
        <v>5</v>
      </c>
      <c r="S24" s="1">
        <f>COUNTIF(S18:S22,S23)</f>
        <v>5</v>
      </c>
      <c r="T24" s="1">
        <v>4</v>
      </c>
      <c r="U24" s="1">
        <f>COUNTIF(U18:U22,U23)</f>
        <v>5</v>
      </c>
      <c r="V24" s="1">
        <f>SUM(D24:U24)</f>
        <v>83</v>
      </c>
    </row>
    <row r="25" spans="1:22" ht="20" customHeight="1" x14ac:dyDescent="0.15">
      <c r="C25" s="16" t="s">
        <v>136</v>
      </c>
      <c r="F25" s="16" t="s">
        <v>132</v>
      </c>
      <c r="G25" s="16"/>
    </row>
    <row r="26" spans="1:22" ht="20" customHeight="1" x14ac:dyDescent="0.15">
      <c r="D26" s="1">
        <f>18*18</f>
        <v>324</v>
      </c>
      <c r="F26" s="16">
        <f>SUM(F27:F29)</f>
        <v>293</v>
      </c>
      <c r="H26" s="18">
        <f>F26/D26</f>
        <v>0.90432098765432101</v>
      </c>
    </row>
    <row r="27" spans="1:22" ht="20" customHeight="1" x14ac:dyDescent="0.15">
      <c r="E27" s="16" t="s">
        <v>20</v>
      </c>
      <c r="F27" s="1">
        <f>V10</f>
        <v>119</v>
      </c>
      <c r="H27" s="18">
        <f>F27/(18*7)</f>
        <v>0.94444444444444442</v>
      </c>
    </row>
    <row r="28" spans="1:22" ht="20" customHeight="1" x14ac:dyDescent="0.15">
      <c r="E28" s="16" t="s">
        <v>70</v>
      </c>
      <c r="F28" s="1">
        <f>V17</f>
        <v>91</v>
      </c>
      <c r="H28" s="18">
        <f>F28/(6*18)</f>
        <v>0.84259259259259256</v>
      </c>
    </row>
    <row r="29" spans="1:22" ht="20" customHeight="1" x14ac:dyDescent="0.15">
      <c r="E29" s="16" t="s">
        <v>99</v>
      </c>
      <c r="F29" s="16">
        <f>V24</f>
        <v>83</v>
      </c>
      <c r="H29" s="18">
        <f>F29/(5*18)</f>
        <v>0.92222222222222228</v>
      </c>
    </row>
  </sheetData>
  <mergeCells count="1">
    <mergeCell ref="A1:U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readingExperiment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Jose Valderas Aranda</cp:lastModifiedBy>
  <dcterms:modified xsi:type="dcterms:W3CDTF">2026-03-29T11:25:04Z</dcterms:modified>
</cp:coreProperties>
</file>